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REEN_WAVES\tests\"/>
    </mc:Choice>
  </mc:AlternateContent>
  <xr:revisionPtr revIDLastSave="0" documentId="13_ncr:1_{5960D027-9DEF-493C-8825-3BB0F06DA23C}" xr6:coauthVersionLast="47" xr6:coauthVersionMax="47" xr10:uidLastSave="{00000000-0000-0000-0000-000000000000}"/>
  <bookViews>
    <workbookView xWindow="-120" yWindow="-120" windowWidth="29040" windowHeight="15720" xr2:uid="{F67D8EC4-254D-478F-862E-242A865AF5AB}"/>
  </bookViews>
  <sheets>
    <sheet name="Eje Canada" sheetId="4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L3" i="4" l="1"/>
  <c r="L29" i="4"/>
  <c r="L27" i="4"/>
  <c r="L25" i="4"/>
  <c r="L23" i="4"/>
  <c r="J21" i="4"/>
  <c r="L21" i="4" s="1"/>
  <c r="L19" i="4"/>
  <c r="L17" i="4"/>
  <c r="L15" i="4"/>
  <c r="L13" i="4"/>
  <c r="L11" i="4"/>
  <c r="L9" i="4"/>
  <c r="L7" i="4"/>
  <c r="L5" i="4"/>
</calcChain>
</file>

<file path=xl/sharedStrings.xml><?xml version="1.0" encoding="utf-8"?>
<sst xmlns="http://schemas.openxmlformats.org/spreadsheetml/2006/main" count="73" uniqueCount="33">
  <si>
    <t>Intersections</t>
  </si>
  <si>
    <t>In-Speed</t>
  </si>
  <si>
    <t>Out-Speed</t>
  </si>
  <si>
    <t>distances, meters</t>
  </si>
  <si>
    <t>through</t>
  </si>
  <si>
    <t>left</t>
  </si>
  <si>
    <t>Inbound green, s</t>
  </si>
  <si>
    <t>Red, s</t>
  </si>
  <si>
    <t>Current cycle, s</t>
  </si>
  <si>
    <t>1. AV. CANADÁ - AV. PASEO DE LA REPÚBLICA</t>
  </si>
  <si>
    <t>2. AV. CANADÁ - AV. PALERMO</t>
  </si>
  <si>
    <t>3. AV. CANADÁ - AV. CAMPODONICO</t>
  </si>
  <si>
    <t>4. AV. CANADÁ - AV. PARINACOCHAS</t>
  </si>
  <si>
    <t>5. AV. CANADÁ - AV. SANTA CATALINA</t>
  </si>
  <si>
    <t>6. AV. CANADÁ - AV. NICOLAS ARRIOLA</t>
  </si>
  <si>
    <t>7. AV. CANADÁ - AV. LUIS ALDANA</t>
  </si>
  <si>
    <t>8. AV. CANADÁ - AV. GUARDIA CIVIL</t>
  </si>
  <si>
    <t>9. AV. CANADÁ - AV. AVIACIÓN</t>
  </si>
  <si>
    <t>10. AV. CANADÁ - AV. ARQUEOLOGIA</t>
  </si>
  <si>
    <t>11. AV. CANADÁ - AV. SAN LUIS</t>
  </si>
  <si>
    <t>12. AV. CANADÁ - AV. ROSA TORO</t>
  </si>
  <si>
    <t>13. AV. CANADÁ - CA. CELENDÍN</t>
  </si>
  <si>
    <t>14. AV. CANADÁ - AV. CIRCUNVALACIÓN</t>
  </si>
  <si>
    <t>Lead/Lag</t>
  </si>
  <si>
    <t>Outbound green, s</t>
  </si>
  <si>
    <t>LAG</t>
  </si>
  <si>
    <t>LEAD</t>
  </si>
  <si>
    <t>Offsets</t>
  </si>
  <si>
    <t>Phases Outbound</t>
  </si>
  <si>
    <t>P1</t>
  </si>
  <si>
    <t>P1,P2</t>
  </si>
  <si>
    <t>P4,P1</t>
  </si>
  <si>
    <t>Phases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</si>
</sst>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C4E4-6593-4139-A1FC-7D82D8206E6C}">
  <dimension ref="A1:O29"/>
  <sheetViews>
    <sheetView tabSelected="1" zoomScale="70" zoomScaleNormal="70" workbookViewId="0">
      <selection activeCell="E6" sqref="E6"/>
    </sheetView>
  </sheetViews>
  <sheetFormatPr baseColWidth="10" defaultRowHeight="15" x14ac:dyDescent="0.25"/>
  <cols>
    <col min="2" max="2" width="11.5703125" customWidth="1"/>
    <col min="3" max="3" width="13.7109375" customWidth="1"/>
    <col min="4" max="5" width="12" customWidth="1"/>
    <col min="16" max="16" width="13.5703125" bestFit="1" customWidth="1"/>
  </cols>
  <sheetData>
    <row r="1" spans="1:15" ht="15" customHeight="1" x14ac:dyDescent="0.25">
      <c r="A1" s="33" t="s">
        <v>0</v>
      </c>
      <c r="B1" s="34"/>
      <c r="C1" s="34"/>
      <c r="D1" s="35"/>
      <c r="E1" s="40" t="s">
        <v>27</v>
      </c>
      <c r="F1" s="36" t="s">
        <v>6</v>
      </c>
      <c r="G1" s="37"/>
      <c r="H1" s="40" t="s">
        <v>23</v>
      </c>
      <c r="I1" s="38" t="s">
        <v>24</v>
      </c>
      <c r="J1" s="39"/>
      <c r="K1" s="40" t="s">
        <v>23</v>
      </c>
      <c r="L1" s="40" t="s">
        <v>7</v>
      </c>
      <c r="M1" s="31" t="s">
        <v>8</v>
      </c>
      <c r="N1" s="31" t="s">
        <v>32</v>
      </c>
      <c r="O1" s="31" t="s">
        <v>28</v>
      </c>
    </row>
    <row r="2" spans="1:15" x14ac:dyDescent="0.25">
      <c r="A2" s="4"/>
      <c r="B2" s="5" t="s">
        <v>3</v>
      </c>
      <c r="C2" s="5" t="s">
        <v>1</v>
      </c>
      <c r="D2" s="6" t="s">
        <v>2</v>
      </c>
      <c r="E2" s="41"/>
      <c r="F2" s="13" t="s">
        <v>4</v>
      </c>
      <c r="G2" s="12" t="s">
        <v>5</v>
      </c>
      <c r="H2" s="41"/>
      <c r="I2" s="14" t="s">
        <v>4</v>
      </c>
      <c r="J2" s="14" t="s">
        <v>5</v>
      </c>
      <c r="K2" s="41"/>
      <c r="L2" s="41"/>
      <c r="M2" s="32"/>
      <c r="N2" s="32"/>
      <c r="O2" s="32"/>
    </row>
    <row r="3" spans="1:15" x14ac:dyDescent="0.25">
      <c r="A3" s="7" t="s">
        <v>9</v>
      </c>
      <c r="B3" s="8"/>
      <c r="C3" s="8"/>
      <c r="D3" s="9"/>
      <c r="E3" s="11">
        <v>0</v>
      </c>
      <c r="F3" s="21">
        <v>76</v>
      </c>
      <c r="G3" s="21">
        <v>16</v>
      </c>
      <c r="H3" s="21"/>
      <c r="I3" s="21">
        <v>60</v>
      </c>
      <c r="J3" s="21">
        <v>0</v>
      </c>
      <c r="K3" s="21" t="s">
        <v>25</v>
      </c>
      <c r="L3" s="21">
        <f>M3-F3-J3</f>
        <v>74</v>
      </c>
      <c r="M3" s="22">
        <v>150</v>
      </c>
      <c r="N3" s="25" t="s">
        <v>30</v>
      </c>
      <c r="O3" s="25" t="s">
        <v>29</v>
      </c>
    </row>
    <row r="4" spans="1:15" x14ac:dyDescent="0.25">
      <c r="A4" s="1"/>
      <c r="B4">
        <v>378</v>
      </c>
      <c r="C4" s="2">
        <v>20</v>
      </c>
      <c r="D4" s="28">
        <v>20</v>
      </c>
      <c r="E4" s="23"/>
      <c r="F4" s="19"/>
      <c r="G4" s="19"/>
      <c r="H4" s="19"/>
      <c r="I4" s="19"/>
      <c r="J4" s="19"/>
      <c r="K4" s="19"/>
      <c r="L4" s="19"/>
      <c r="M4" s="20"/>
      <c r="N4" s="27"/>
      <c r="O4" s="26"/>
    </row>
    <row r="5" spans="1:15" x14ac:dyDescent="0.25">
      <c r="A5" s="7" t="s">
        <v>10</v>
      </c>
      <c r="B5" s="8"/>
      <c r="C5" s="10"/>
      <c r="D5" s="11"/>
      <c r="E5" s="24">
        <v>111</v>
      </c>
      <c r="F5" s="21">
        <v>83</v>
      </c>
      <c r="G5" s="21">
        <v>23</v>
      </c>
      <c r="H5" s="21"/>
      <c r="I5" s="21">
        <v>60</v>
      </c>
      <c r="J5" s="21">
        <v>0</v>
      </c>
      <c r="K5" s="21" t="s">
        <v>25</v>
      </c>
      <c r="L5" s="21">
        <f>M5-F5-J5</f>
        <v>67</v>
      </c>
      <c r="M5" s="21">
        <v>150</v>
      </c>
      <c r="N5" s="25" t="s">
        <v>30</v>
      </c>
      <c r="O5" s="25" t="s">
        <v>29</v>
      </c>
    </row>
    <row r="6" spans="1:15" x14ac:dyDescent="0.25">
      <c r="A6" s="1"/>
      <c r="B6">
        <v>177</v>
      </c>
      <c r="C6" s="29">
        <v>35</v>
      </c>
      <c r="D6" s="28">
        <v>25</v>
      </c>
      <c r="E6" s="23"/>
      <c r="F6" s="19"/>
      <c r="G6" s="19"/>
      <c r="H6" s="19"/>
      <c r="I6" s="19"/>
      <c r="J6" s="19"/>
      <c r="K6" s="19"/>
      <c r="L6" s="19"/>
      <c r="M6" s="20"/>
      <c r="N6" s="27"/>
      <c r="O6" s="26"/>
    </row>
    <row r="7" spans="1:15" x14ac:dyDescent="0.25">
      <c r="A7" s="7" t="s">
        <v>11</v>
      </c>
      <c r="B7" s="8"/>
      <c r="C7" s="10"/>
      <c r="D7" s="11"/>
      <c r="E7" s="24">
        <v>98</v>
      </c>
      <c r="F7" s="21">
        <v>64</v>
      </c>
      <c r="G7" s="21">
        <v>0</v>
      </c>
      <c r="H7" s="21" t="s">
        <v>25</v>
      </c>
      <c r="I7" s="21">
        <v>85</v>
      </c>
      <c r="J7" s="21">
        <f>I7-F7</f>
        <v>21</v>
      </c>
      <c r="K7" s="21"/>
      <c r="L7" s="21">
        <f>M7-F7-J7</f>
        <v>65</v>
      </c>
      <c r="M7" s="21">
        <v>150</v>
      </c>
      <c r="N7" s="25" t="s">
        <v>29</v>
      </c>
      <c r="O7" s="25" t="s">
        <v>30</v>
      </c>
    </row>
    <row r="8" spans="1:15" x14ac:dyDescent="0.25">
      <c r="A8" s="1"/>
      <c r="B8">
        <v>256</v>
      </c>
      <c r="C8" s="2">
        <v>40</v>
      </c>
      <c r="D8" s="28">
        <v>45</v>
      </c>
      <c r="E8" s="23"/>
      <c r="F8" s="19"/>
      <c r="G8" s="19"/>
      <c r="H8" s="19"/>
      <c r="I8" s="19"/>
      <c r="J8" s="19"/>
      <c r="K8" s="19"/>
      <c r="L8" s="19"/>
      <c r="M8" s="20"/>
      <c r="N8" s="27"/>
      <c r="O8" s="26"/>
    </row>
    <row r="9" spans="1:15" x14ac:dyDescent="0.25">
      <c r="A9" s="7" t="s">
        <v>12</v>
      </c>
      <c r="B9" s="8"/>
      <c r="C9" s="10"/>
      <c r="D9" s="11"/>
      <c r="E9" s="24">
        <v>10</v>
      </c>
      <c r="F9" s="21">
        <v>60</v>
      </c>
      <c r="G9" s="21">
        <v>0</v>
      </c>
      <c r="H9" s="21" t="s">
        <v>25</v>
      </c>
      <c r="I9" s="21">
        <v>83</v>
      </c>
      <c r="J9" s="21">
        <v>23</v>
      </c>
      <c r="K9" s="21"/>
      <c r="L9" s="21">
        <f>M9-F9-J9</f>
        <v>67</v>
      </c>
      <c r="M9" s="21">
        <v>150</v>
      </c>
      <c r="N9" s="25" t="s">
        <v>29</v>
      </c>
      <c r="O9" s="25" t="s">
        <v>30</v>
      </c>
    </row>
    <row r="10" spans="1:15" x14ac:dyDescent="0.25">
      <c r="A10" s="1"/>
      <c r="B10">
        <v>240</v>
      </c>
      <c r="C10" s="29">
        <v>30</v>
      </c>
      <c r="D10" s="28">
        <v>45</v>
      </c>
      <c r="E10" s="23"/>
      <c r="F10" s="19"/>
      <c r="G10" s="19"/>
      <c r="H10" s="19"/>
      <c r="I10" s="19"/>
      <c r="J10" s="19"/>
      <c r="K10" s="19"/>
      <c r="L10" s="19"/>
      <c r="M10" s="20"/>
      <c r="N10" s="27"/>
      <c r="O10" s="26"/>
    </row>
    <row r="11" spans="1:15" x14ac:dyDescent="0.25">
      <c r="A11" s="7" t="s">
        <v>13</v>
      </c>
      <c r="B11" s="8"/>
      <c r="C11" s="10"/>
      <c r="D11" s="11"/>
      <c r="E11" s="24">
        <v>55</v>
      </c>
      <c r="F11" s="21">
        <v>72</v>
      </c>
      <c r="G11" s="21">
        <v>28</v>
      </c>
      <c r="H11" s="21" t="s">
        <v>25</v>
      </c>
      <c r="I11" s="21">
        <v>72</v>
      </c>
      <c r="J11" s="21">
        <v>28</v>
      </c>
      <c r="K11" s="21" t="s">
        <v>25</v>
      </c>
      <c r="L11" s="21">
        <f>M11-F11-J11</f>
        <v>50</v>
      </c>
      <c r="M11" s="21">
        <v>150</v>
      </c>
      <c r="N11" s="25" t="s">
        <v>29</v>
      </c>
      <c r="O11" s="25" t="s">
        <v>29</v>
      </c>
    </row>
    <row r="12" spans="1:15" x14ac:dyDescent="0.25">
      <c r="A12" s="1"/>
      <c r="B12">
        <v>369</v>
      </c>
      <c r="C12" s="2">
        <v>35</v>
      </c>
      <c r="D12" s="28">
        <v>45</v>
      </c>
      <c r="E12" s="23"/>
      <c r="F12" s="19"/>
      <c r="G12" s="19"/>
      <c r="H12" s="19"/>
      <c r="I12" s="19"/>
      <c r="J12" s="19"/>
      <c r="K12" s="19"/>
      <c r="L12" s="19"/>
      <c r="M12" s="20"/>
      <c r="N12" s="27"/>
      <c r="O12" s="26"/>
    </row>
    <row r="13" spans="1:15" x14ac:dyDescent="0.25">
      <c r="A13" s="7" t="s">
        <v>14</v>
      </c>
      <c r="B13" s="8"/>
      <c r="C13" s="10"/>
      <c r="D13" s="11"/>
      <c r="E13" s="24">
        <v>59</v>
      </c>
      <c r="F13" s="21">
        <v>75</v>
      </c>
      <c r="G13" s="21">
        <v>30</v>
      </c>
      <c r="H13" s="21" t="s">
        <v>25</v>
      </c>
      <c r="I13" s="21">
        <v>75</v>
      </c>
      <c r="J13" s="21">
        <v>30</v>
      </c>
      <c r="K13" s="21" t="s">
        <v>25</v>
      </c>
      <c r="L13" s="21">
        <f>M13-F13-J13</f>
        <v>45</v>
      </c>
      <c r="M13" s="21">
        <v>150</v>
      </c>
      <c r="N13" s="25" t="s">
        <v>29</v>
      </c>
      <c r="O13" s="25" t="s">
        <v>29</v>
      </c>
    </row>
    <row r="14" spans="1:15" ht="14.25" customHeight="1" x14ac:dyDescent="0.25">
      <c r="A14" s="1"/>
      <c r="B14">
        <v>484</v>
      </c>
      <c r="C14" s="29">
        <v>30</v>
      </c>
      <c r="D14" s="3">
        <v>40</v>
      </c>
      <c r="E14" s="23"/>
      <c r="F14" s="19"/>
      <c r="G14" s="19"/>
      <c r="H14" s="19"/>
      <c r="I14" s="19"/>
      <c r="J14" s="19"/>
      <c r="K14" s="19"/>
      <c r="L14" s="19"/>
      <c r="M14" s="20"/>
      <c r="N14" s="27"/>
      <c r="O14" s="26"/>
    </row>
    <row r="15" spans="1:15" x14ac:dyDescent="0.25">
      <c r="A15" s="7" t="s">
        <v>15</v>
      </c>
      <c r="B15" s="8"/>
      <c r="C15" s="10"/>
      <c r="D15" s="11"/>
      <c r="E15" s="24">
        <v>101</v>
      </c>
      <c r="F15" s="21">
        <v>91</v>
      </c>
      <c r="G15" s="21">
        <v>0</v>
      </c>
      <c r="H15" s="21"/>
      <c r="I15" s="21">
        <v>91</v>
      </c>
      <c r="J15" s="21">
        <v>0</v>
      </c>
      <c r="K15" s="21"/>
      <c r="L15" s="21">
        <f>M15-F15-J15</f>
        <v>59</v>
      </c>
      <c r="M15" s="21">
        <v>150</v>
      </c>
      <c r="N15" s="25" t="s">
        <v>29</v>
      </c>
      <c r="O15" s="25" t="s">
        <v>29</v>
      </c>
    </row>
    <row r="16" spans="1:15" x14ac:dyDescent="0.25">
      <c r="A16" s="1"/>
      <c r="B16">
        <v>193</v>
      </c>
      <c r="C16" s="2">
        <v>40</v>
      </c>
      <c r="D16" s="28">
        <v>45</v>
      </c>
      <c r="E16" s="23"/>
      <c r="F16" s="19"/>
      <c r="G16" s="19"/>
      <c r="H16" s="19"/>
      <c r="I16" s="19"/>
      <c r="J16" s="19"/>
      <c r="K16" s="19"/>
      <c r="L16" s="19"/>
      <c r="M16" s="20"/>
      <c r="N16" s="27"/>
      <c r="O16" s="26"/>
    </row>
    <row r="17" spans="1:15" x14ac:dyDescent="0.25">
      <c r="A17" s="7" t="s">
        <v>16</v>
      </c>
      <c r="B17" s="8"/>
      <c r="C17" s="10"/>
      <c r="D17" s="11"/>
      <c r="E17" s="24">
        <v>126</v>
      </c>
      <c r="F17" s="21">
        <v>70</v>
      </c>
      <c r="G17" s="21">
        <v>18</v>
      </c>
      <c r="H17" s="21" t="s">
        <v>25</v>
      </c>
      <c r="I17" s="21">
        <v>70</v>
      </c>
      <c r="J17" s="21">
        <v>18</v>
      </c>
      <c r="K17" s="21" t="s">
        <v>25</v>
      </c>
      <c r="L17" s="21">
        <f>M17-F17-J17</f>
        <v>62</v>
      </c>
      <c r="M17" s="21">
        <v>150</v>
      </c>
      <c r="N17" s="25" t="s">
        <v>29</v>
      </c>
      <c r="O17" s="25" t="s">
        <v>29</v>
      </c>
    </row>
    <row r="18" spans="1:15" x14ac:dyDescent="0.25">
      <c r="A18" s="1"/>
      <c r="B18">
        <v>446</v>
      </c>
      <c r="C18" s="29">
        <v>35</v>
      </c>
      <c r="D18" s="28">
        <v>45</v>
      </c>
      <c r="E18" s="23"/>
      <c r="F18" s="19"/>
      <c r="G18" s="19"/>
      <c r="H18" s="19"/>
      <c r="I18" s="19"/>
      <c r="J18" s="19"/>
      <c r="K18" s="19"/>
      <c r="L18" s="19"/>
      <c r="M18" s="20"/>
      <c r="N18" s="27"/>
      <c r="O18" s="26"/>
    </row>
    <row r="19" spans="1:15" x14ac:dyDescent="0.25">
      <c r="A19" s="7" t="s">
        <v>17</v>
      </c>
      <c r="B19" s="8"/>
      <c r="C19" s="10"/>
      <c r="D19" s="11"/>
      <c r="E19" s="24">
        <v>36</v>
      </c>
      <c r="F19" s="21">
        <v>63</v>
      </c>
      <c r="G19" s="21">
        <v>0</v>
      </c>
      <c r="H19" s="21"/>
      <c r="I19" s="21">
        <v>63</v>
      </c>
      <c r="J19" s="21">
        <v>0</v>
      </c>
      <c r="K19" s="21"/>
      <c r="L19" s="21">
        <f>M19-F19-J19</f>
        <v>87</v>
      </c>
      <c r="M19" s="21">
        <v>150</v>
      </c>
      <c r="N19" s="25" t="s">
        <v>29</v>
      </c>
      <c r="O19" s="25" t="s">
        <v>29</v>
      </c>
    </row>
    <row r="20" spans="1:15" x14ac:dyDescent="0.25">
      <c r="A20" s="1"/>
      <c r="B20">
        <v>367</v>
      </c>
      <c r="C20" s="29">
        <v>35</v>
      </c>
      <c r="D20" s="3">
        <v>45</v>
      </c>
      <c r="E20" s="23"/>
      <c r="F20" s="19"/>
      <c r="G20" s="19"/>
      <c r="H20" s="19"/>
      <c r="I20" s="19"/>
      <c r="J20" s="19"/>
      <c r="K20" s="19"/>
      <c r="L20" s="19"/>
      <c r="M20" s="20"/>
      <c r="N20" s="27"/>
      <c r="O20" s="26"/>
    </row>
    <row r="21" spans="1:15" x14ac:dyDescent="0.25">
      <c r="A21" s="7" t="s">
        <v>18</v>
      </c>
      <c r="B21" s="8"/>
      <c r="C21" s="10"/>
      <c r="D21" s="11"/>
      <c r="E21" s="24">
        <v>54</v>
      </c>
      <c r="F21" s="30">
        <v>65</v>
      </c>
      <c r="G21" s="21">
        <v>0</v>
      </c>
      <c r="H21" s="21" t="s">
        <v>25</v>
      </c>
      <c r="I21" s="30">
        <v>105</v>
      </c>
      <c r="J21" s="21">
        <f>I21-F21</f>
        <v>40</v>
      </c>
      <c r="K21" s="21"/>
      <c r="L21" s="21">
        <f>M21-F21-J21</f>
        <v>45</v>
      </c>
      <c r="M21" s="21">
        <v>150</v>
      </c>
      <c r="N21" s="25" t="s">
        <v>29</v>
      </c>
      <c r="O21" s="25" t="s">
        <v>30</v>
      </c>
    </row>
    <row r="22" spans="1:15" x14ac:dyDescent="0.25">
      <c r="A22" s="1"/>
      <c r="B22">
        <v>417</v>
      </c>
      <c r="C22" s="29">
        <v>40</v>
      </c>
      <c r="D22" s="28">
        <v>50</v>
      </c>
      <c r="E22" s="23"/>
      <c r="F22" s="19"/>
      <c r="G22" s="19"/>
      <c r="H22" s="19"/>
      <c r="I22" s="19"/>
      <c r="J22" s="19"/>
      <c r="K22" s="19"/>
      <c r="L22" s="19"/>
      <c r="M22" s="20"/>
      <c r="N22" s="27"/>
      <c r="O22" s="26"/>
    </row>
    <row r="23" spans="1:15" x14ac:dyDescent="0.25">
      <c r="A23" s="7" t="s">
        <v>19</v>
      </c>
      <c r="B23" s="8"/>
      <c r="C23" s="10"/>
      <c r="D23" s="11"/>
      <c r="E23" s="24">
        <v>134</v>
      </c>
      <c r="F23" s="21">
        <v>56</v>
      </c>
      <c r="G23" s="21">
        <v>0</v>
      </c>
      <c r="H23" s="21"/>
      <c r="I23" s="21">
        <v>56</v>
      </c>
      <c r="J23" s="21">
        <v>0</v>
      </c>
      <c r="K23" s="21"/>
      <c r="L23" s="21">
        <f>M23-F23-J23</f>
        <v>94</v>
      </c>
      <c r="M23" s="21">
        <v>150</v>
      </c>
      <c r="N23" s="25" t="s">
        <v>29</v>
      </c>
      <c r="O23" s="25" t="s">
        <v>29</v>
      </c>
    </row>
    <row r="24" spans="1:15" x14ac:dyDescent="0.25">
      <c r="A24" s="1"/>
      <c r="B24">
        <v>439</v>
      </c>
      <c r="C24" s="29">
        <v>40</v>
      </c>
      <c r="D24" s="28">
        <v>45</v>
      </c>
      <c r="E24" s="23"/>
      <c r="F24" s="19"/>
      <c r="G24" s="19"/>
      <c r="H24" s="19"/>
      <c r="I24" s="19"/>
      <c r="J24" s="19"/>
      <c r="K24" s="19"/>
      <c r="L24" s="19"/>
      <c r="M24" s="20"/>
      <c r="N24" s="27"/>
      <c r="O24" s="26"/>
    </row>
    <row r="25" spans="1:15" x14ac:dyDescent="0.25">
      <c r="A25" s="7" t="s">
        <v>20</v>
      </c>
      <c r="B25" s="8"/>
      <c r="C25" s="10"/>
      <c r="D25" s="11"/>
      <c r="E25" s="24">
        <v>1</v>
      </c>
      <c r="F25" s="21">
        <v>65</v>
      </c>
      <c r="G25" s="21">
        <v>12</v>
      </c>
      <c r="H25" s="21" t="s">
        <v>25</v>
      </c>
      <c r="I25" s="21">
        <v>65</v>
      </c>
      <c r="J25" s="21">
        <v>12</v>
      </c>
      <c r="K25" s="21" t="s">
        <v>25</v>
      </c>
      <c r="L25" s="21">
        <f>M25-F25-J25</f>
        <v>73</v>
      </c>
      <c r="M25" s="21">
        <v>150</v>
      </c>
      <c r="N25" s="25" t="s">
        <v>29</v>
      </c>
      <c r="O25" s="25" t="s">
        <v>29</v>
      </c>
    </row>
    <row r="26" spans="1:15" x14ac:dyDescent="0.25">
      <c r="A26" s="1"/>
      <c r="B26">
        <v>384</v>
      </c>
      <c r="C26" s="29">
        <v>45</v>
      </c>
      <c r="D26" s="3">
        <v>50</v>
      </c>
      <c r="E26" s="23"/>
      <c r="F26" s="19"/>
      <c r="G26" s="19"/>
      <c r="H26" s="19"/>
      <c r="I26" s="19"/>
      <c r="J26" s="19"/>
      <c r="K26" s="19"/>
      <c r="L26" s="19"/>
      <c r="M26" s="20"/>
      <c r="N26" s="27"/>
      <c r="O26" s="26"/>
    </row>
    <row r="27" spans="1:15" x14ac:dyDescent="0.25">
      <c r="A27" s="15" t="s">
        <v>21</v>
      </c>
      <c r="B27" s="16"/>
      <c r="C27" s="17"/>
      <c r="D27" s="18"/>
      <c r="E27" s="24">
        <v>35</v>
      </c>
      <c r="F27" s="21">
        <v>72</v>
      </c>
      <c r="G27" s="21">
        <v>0</v>
      </c>
      <c r="H27" s="21" t="s">
        <v>26</v>
      </c>
      <c r="I27" s="21">
        <v>92</v>
      </c>
      <c r="J27" s="21">
        <v>20</v>
      </c>
      <c r="K27" s="21"/>
      <c r="L27" s="21">
        <f>M27-F27-J27</f>
        <v>58</v>
      </c>
      <c r="M27" s="21">
        <v>150</v>
      </c>
      <c r="N27" s="25" t="s">
        <v>29</v>
      </c>
      <c r="O27" s="25" t="s">
        <v>31</v>
      </c>
    </row>
    <row r="28" spans="1:15" x14ac:dyDescent="0.25">
      <c r="A28" s="1"/>
      <c r="B28">
        <v>230</v>
      </c>
      <c r="C28" s="2">
        <v>24</v>
      </c>
      <c r="D28" s="3">
        <v>35</v>
      </c>
      <c r="E28" s="23"/>
      <c r="F28" s="19"/>
      <c r="G28" s="19"/>
      <c r="H28" s="19"/>
      <c r="I28" s="19"/>
      <c r="J28" s="19"/>
      <c r="K28" s="19"/>
      <c r="L28" s="19"/>
      <c r="M28" s="20"/>
      <c r="N28" s="27"/>
      <c r="O28" s="26"/>
    </row>
    <row r="29" spans="1:15" x14ac:dyDescent="0.25">
      <c r="A29" s="7" t="s">
        <v>22</v>
      </c>
      <c r="B29" s="8"/>
      <c r="C29" s="10"/>
      <c r="D29" s="11"/>
      <c r="E29" s="24">
        <v>61</v>
      </c>
      <c r="F29" s="21">
        <v>43</v>
      </c>
      <c r="G29" s="21">
        <v>0</v>
      </c>
      <c r="H29" s="21"/>
      <c r="I29" s="21">
        <v>43</v>
      </c>
      <c r="J29" s="21">
        <v>0</v>
      </c>
      <c r="K29" s="21"/>
      <c r="L29" s="21">
        <f>M29-F29-J29</f>
        <v>107</v>
      </c>
      <c r="M29" s="21">
        <v>150</v>
      </c>
      <c r="N29" s="25" t="s">
        <v>29</v>
      </c>
      <c r="O29" s="25" t="s">
        <v>29</v>
      </c>
    </row>
  </sheetData>
  <mergeCells count="10">
    <mergeCell ref="N1:N2"/>
    <mergeCell ref="O1:O2"/>
    <mergeCell ref="A1:D1"/>
    <mergeCell ref="F1:G1"/>
    <mergeCell ref="I1:J1"/>
    <mergeCell ref="L1:L2"/>
    <mergeCell ref="M1:M2"/>
    <mergeCell ref="H1:H2"/>
    <mergeCell ref="K1:K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 Canada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Candia Nina</dc:creator>
  <cp:lastModifiedBy>Daryl Candia Nina</cp:lastModifiedBy>
  <dcterms:created xsi:type="dcterms:W3CDTF">2025-01-15T22:31:43Z</dcterms:created>
  <dcterms:modified xsi:type="dcterms:W3CDTF">2025-09-07T10:42:20Z</dcterms:modified>
</cp:coreProperties>
</file>